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icket" sheetId="1" state="visible" r:id="rId1"/>
    <sheet xmlns:r="http://schemas.openxmlformats.org/officeDocument/2006/relationships" name="feedbacks" sheetId="2" state="visible" r:id="rId2"/>
    <sheet xmlns:r="http://schemas.openxmlformats.org/officeDocument/2006/relationships" name="analysi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-mm-dd hh:mm:ss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1F4E79"/>
      <sz val="13"/>
    </font>
    <font>
      <name val="Arial"/>
      <charset val="1"/>
      <family val="0"/>
      <b val="1"/>
      <color rgb="FF1F4E79"/>
      <sz val="12"/>
    </font>
    <font>
      <name val="Arial"/>
      <charset val="1"/>
      <family val="0"/>
      <b val="1"/>
      <color rgb="FFC00000"/>
      <sz val="11"/>
    </font>
    <font>
      <name val="Arial"/>
      <charset val="1"/>
      <family val="0"/>
      <b val="1"/>
      <color rgb="FF1F4E79"/>
      <sz val="11"/>
    </font>
    <font>
      <name val="Arial"/>
      <charset val="1"/>
      <family val="0"/>
      <i val="1"/>
      <sz val="10"/>
    </font>
  </fonts>
  <fills count="5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D6E4F0"/>
      </patternFill>
    </fill>
    <fill>
      <patternFill patternType="solid">
        <fgColor rgb="FFD6E4F0"/>
        <bgColor rgb="FFE2EFDA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0" fontId="5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left" vertical="center"/>
    </xf>
    <xf numFmtId="164" fontId="0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0" fontId="5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5" fontId="5" fillId="3" borderId="1" applyAlignment="1" pivotButton="0" quotePrefix="0" xfId="0">
      <alignment horizontal="left" vertical="center"/>
    </xf>
    <xf numFmtId="165" fontId="0" fillId="0" borderId="0" applyAlignment="1" pivotButton="0" quotePrefix="0" xfId="0">
      <alignment horizontal="general" vertical="bottom"/>
    </xf>
    <xf numFmtId="165" fontId="5" fillId="0" borderId="1" applyAlignment="1" pivotButton="0" quotePrefix="0" xfId="0">
      <alignment horizontal="left" vertical="center"/>
    </xf>
    <xf numFmtId="165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6" min="1" max="1"/>
    <col width="22" customWidth="1" style="16" min="2" max="3"/>
    <col width="16" customWidth="1" style="16" min="4" max="5"/>
  </cols>
  <sheetData>
    <row r="1" ht="27.75" customHeight="1" s="17">
      <c r="A1" s="18" t="inlineStr">
        <is>
          <t>ticket_id</t>
        </is>
      </c>
      <c r="B1" s="18" t="inlineStr">
        <is>
          <t>created_at</t>
        </is>
      </c>
      <c r="C1" s="18" t="inlineStr">
        <is>
          <t>closed_at</t>
        </is>
      </c>
      <c r="D1" s="18" t="inlineStr">
        <is>
          <t>outlet_id</t>
        </is>
      </c>
      <c r="E1" s="18" t="inlineStr">
        <is>
          <t>cms_id</t>
        </is>
      </c>
    </row>
    <row r="2" ht="15" customHeight="1" s="17">
      <c r="A2" s="19" t="inlineStr">
        <is>
          <t>isu-sjd-457</t>
        </is>
      </c>
      <c r="B2" s="20" t="n">
        <v>44427.69841435185</v>
      </c>
      <c r="C2" s="20" t="n">
        <v>44430.52328703704</v>
      </c>
      <c r="D2" s="19" t="inlineStr">
        <is>
          <t>wrqy-juv-978</t>
        </is>
      </c>
      <c r="E2" s="19" t="inlineStr">
        <is>
          <t>vew-iuvd-12</t>
        </is>
      </c>
    </row>
    <row r="3" ht="15" customHeight="1" s="17">
      <c r="A3" s="19" t="inlineStr">
        <is>
          <t>qer-fal-092</t>
        </is>
      </c>
      <c r="B3" s="20" t="n">
        <v>44429.46483796297</v>
      </c>
      <c r="C3" s="20" t="n">
        <v>44429.71788194445</v>
      </c>
      <c r="D3" s="19" t="inlineStr">
        <is>
          <t>8woh-k3u-23b</t>
        </is>
      </c>
      <c r="E3" s="19" t="inlineStr">
        <is>
          <t>cms-abc-001</t>
        </is>
      </c>
    </row>
    <row r="4" ht="15" customHeight="1" s="17">
      <c r="A4" s="19" t="inlineStr">
        <is>
          <t>mno-pqr-123</t>
        </is>
      </c>
      <c r="B4" s="20" t="n">
        <v>44429.375</v>
      </c>
      <c r="C4" s="20" t="n">
        <v>44429.40638888889</v>
      </c>
      <c r="D4" s="19" t="inlineStr">
        <is>
          <t>wrqy-juv-978</t>
        </is>
      </c>
      <c r="E4" s="19" t="inlineStr">
        <is>
          <t>cms-abc-002</t>
        </is>
      </c>
    </row>
    <row r="5" ht="15" customHeight="1" s="17">
      <c r="A5" s="19" t="inlineStr">
        <is>
          <t>stu-vwx-456</t>
        </is>
      </c>
      <c r="B5" s="20" t="n">
        <v>44430.60416666666</v>
      </c>
      <c r="C5" s="20" t="n">
        <v>44430.621875</v>
      </c>
      <c r="D5" s="19" t="inlineStr">
        <is>
          <t>8woh-k3u-23b</t>
        </is>
      </c>
      <c r="E5" s="19" t="inlineStr">
        <is>
          <t>cms-abc-003</t>
        </is>
      </c>
    </row>
    <row r="6" ht="15" customHeight="1" s="17">
      <c r="A6" s="19" t="inlineStr">
        <is>
          <t>yza-bcd-789</t>
        </is>
      </c>
      <c r="B6" s="20" t="n">
        <v>44431.42708333334</v>
      </c>
      <c r="C6" s="20" t="n">
        <v>44432.45833333334</v>
      </c>
      <c r="D6" s="19" t="inlineStr">
        <is>
          <t>wrqy-juv-978</t>
        </is>
      </c>
      <c r="E6" s="19" t="inlineStr">
        <is>
          <t>cms-abc-004</t>
        </is>
      </c>
    </row>
    <row r="7" ht="15" customHeight="1" s="17">
      <c r="A7" s="19" t="inlineStr">
        <is>
          <t>efg-hij-012</t>
        </is>
      </c>
      <c r="B7" s="20" t="n">
        <v>44431.33333333334</v>
      </c>
      <c r="C7" s="20" t="n">
        <v>44431.36805555555</v>
      </c>
      <c r="D7" s="19" t="inlineStr">
        <is>
          <t>9xyz-lmn-45p</t>
        </is>
      </c>
      <c r="E7" s="19" t="inlineStr">
        <is>
          <t>cms-abc-005</t>
        </is>
      </c>
    </row>
    <row r="8" ht="15" customHeight="1" s="17">
      <c r="A8" s="19" t="inlineStr">
        <is>
          <t>klm-nop-345</t>
        </is>
      </c>
      <c r="B8" s="20" t="n">
        <v>44432.54166666666</v>
      </c>
      <c r="C8" s="20" t="n">
        <v>44433.375</v>
      </c>
      <c r="D8" s="19" t="inlineStr">
        <is>
          <t>wrqy-juv-978</t>
        </is>
      </c>
      <c r="E8" s="19" t="inlineStr">
        <is>
          <t>cms-abc-006</t>
        </is>
      </c>
    </row>
    <row r="9" ht="15" customHeight="1" s="17">
      <c r="A9" s="19" t="inlineStr">
        <is>
          <t>qrs-tuv-678</t>
        </is>
      </c>
      <c r="B9" s="20" t="n">
        <v>44432.64583333334</v>
      </c>
      <c r="C9" s="20" t="n">
        <v>44432.66527777778</v>
      </c>
      <c r="D9" s="19" t="inlineStr">
        <is>
          <t>8woh-k3u-23b</t>
        </is>
      </c>
      <c r="E9" s="19" t="inlineStr">
        <is>
          <t>cms-abc-007</t>
        </is>
      </c>
    </row>
    <row r="10" ht="15" customHeight="1" s="17">
      <c r="A10" s="19" t="inlineStr">
        <is>
          <t>wxy-zab-901</t>
        </is>
      </c>
      <c r="B10" s="20" t="n">
        <v>44433.32291666666</v>
      </c>
      <c r="C10" s="20" t="n">
        <v>44433.33263888889</v>
      </c>
      <c r="D10" s="19" t="inlineStr">
        <is>
          <t>9xyz-lmn-45p</t>
        </is>
      </c>
      <c r="E10" s="19" t="inlineStr">
        <is>
          <t>cms-abc-008</t>
        </is>
      </c>
    </row>
    <row r="11" ht="15" customHeight="1" s="17">
      <c r="A11" s="19" t="inlineStr">
        <is>
          <t>cde-fgh-234</t>
        </is>
      </c>
      <c r="B11" s="20" t="n">
        <v>44433.45833333334</v>
      </c>
      <c r="C11" s="20" t="n">
        <v>44434.41666666666</v>
      </c>
      <c r="D11" s="19" t="inlineStr">
        <is>
          <t>wrqy-juv-978</t>
        </is>
      </c>
      <c r="E11" s="19" t="inlineStr">
        <is>
          <t>cms-abc-009</t>
        </is>
      </c>
    </row>
    <row r="12" ht="15" customHeight="1" s="17">
      <c r="A12" s="19" t="inlineStr">
        <is>
          <t>ijk-lmn-567</t>
        </is>
      </c>
      <c r="B12" s="20" t="n">
        <v>44434.68055555555</v>
      </c>
      <c r="C12" s="20" t="n">
        <v>44434.70138888889</v>
      </c>
      <c r="D12" s="19" t="inlineStr">
        <is>
          <t>8woh-k3u-23b</t>
        </is>
      </c>
      <c r="E12" s="19" t="inlineStr">
        <is>
          <t>cms-abc-010</t>
        </is>
      </c>
    </row>
    <row r="13" ht="15" customHeight="1" s="17">
      <c r="A13" s="19" t="inlineStr">
        <is>
          <t>opq-rst-890</t>
        </is>
      </c>
      <c r="B13" s="20" t="n">
        <v>44435.39583333334</v>
      </c>
      <c r="C13" s="20" t="n">
        <v>44435.41319444445</v>
      </c>
      <c r="D13" s="19" t="inlineStr">
        <is>
          <t>9xyz-lmn-45p</t>
        </is>
      </c>
      <c r="E13" s="19" t="inlineStr">
        <is>
          <t>cms-abc-011</t>
        </is>
      </c>
    </row>
    <row r="14" ht="15" customHeight="1" s="17">
      <c r="A14" s="19" t="inlineStr">
        <is>
          <t>uvw-xyz-123</t>
        </is>
      </c>
      <c r="B14" s="20" t="n">
        <v>44436.58333333334</v>
      </c>
      <c r="C14" s="20" t="n">
        <v>44437.4375</v>
      </c>
      <c r="D14" s="19" t="inlineStr">
        <is>
          <t>wrqy-juv-978</t>
        </is>
      </c>
      <c r="E14" s="19" t="inlineStr">
        <is>
          <t>cms-abc-012</t>
        </is>
      </c>
    </row>
    <row r="15" ht="15" customHeight="1" s="17">
      <c r="A15" s="19" t="inlineStr">
        <is>
          <t>abc-def-456</t>
        </is>
      </c>
      <c r="B15" s="20" t="n">
        <v>44436.42361111111</v>
      </c>
      <c r="C15" s="20" t="n">
        <v>44436.44791666666</v>
      </c>
      <c r="D15" s="19" t="inlineStr">
        <is>
          <t>8woh-k3u-23b</t>
        </is>
      </c>
      <c r="E15" s="19" t="inlineStr">
        <is>
          <t>cms-abc-013</t>
        </is>
      </c>
    </row>
    <row r="16" ht="15" customHeight="1" s="17">
      <c r="A16" s="19" t="inlineStr">
        <is>
          <t>ghi-jkl-789</t>
        </is>
      </c>
      <c r="B16" s="20" t="n">
        <v>44437.5</v>
      </c>
      <c r="C16" s="20" t="n">
        <v>44437.52083333334</v>
      </c>
      <c r="D16" s="19" t="inlineStr">
        <is>
          <t>9xyz-lmn-45p</t>
        </is>
      </c>
      <c r="E16" s="19" t="inlineStr">
        <is>
          <t>cms-abc-014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16" min="1" max="1"/>
    <col width="22" customWidth="1" style="16" min="2" max="2"/>
    <col width="18" customWidth="1" style="16" min="3" max="3"/>
    <col width="22" customWidth="1" style="16" min="4" max="4"/>
  </cols>
  <sheetData>
    <row r="1" ht="27.75" customHeight="1" s="17">
      <c r="A1" s="18" t="inlineStr">
        <is>
          <t>cms_id</t>
        </is>
      </c>
      <c r="B1" s="18" t="inlineStr">
        <is>
          <t>feedback_at</t>
        </is>
      </c>
      <c r="C1" s="18" t="inlineStr">
        <is>
          <t>feedback_rating</t>
        </is>
      </c>
      <c r="D1" s="18" t="inlineStr">
        <is>
          <t>ticket_created_at</t>
        </is>
      </c>
    </row>
    <row r="2" ht="15" customHeight="1" s="17">
      <c r="A2" s="19" t="inlineStr">
        <is>
          <t>vew-iuvd-12</t>
        </is>
      </c>
      <c r="B2" s="35" t="n">
        <v>44429.56027777777</v>
      </c>
      <c r="C2" s="21" t="n">
        <v>3</v>
      </c>
      <c r="D2" s="33">
        <f>IFERROR(INDEX(ticket!$B:$B,MATCH(A2,ticket!$E:$E,0)),"Not Found")</f>
        <v/>
      </c>
    </row>
    <row r="3" ht="15" customHeight="1" s="17">
      <c r="A3" s="19" t="inlineStr">
        <is>
          <t>cms-abc-001</t>
        </is>
      </c>
      <c r="B3" s="35" t="n">
        <v>44430.375</v>
      </c>
      <c r="C3" s="21" t="n">
        <v>5</v>
      </c>
      <c r="D3" s="33">
        <f>IFERROR(INDEX(ticket!$B:$B,MATCH(A3,ticket!$E:$E,0)),"Not Found")</f>
        <v/>
      </c>
    </row>
    <row r="4" ht="15" customHeight="1" s="17">
      <c r="A4" s="19" t="inlineStr">
        <is>
          <t>cms-abc-002</t>
        </is>
      </c>
      <c r="B4" s="35" t="n">
        <v>44429.45833333334</v>
      </c>
      <c r="C4" s="21" t="n">
        <v>4</v>
      </c>
      <c r="D4" s="33">
        <f>IFERROR(INDEX(ticket!$B:$B,MATCH(A4,ticket!$E:$E,0)),"Not Found")</f>
        <v/>
      </c>
    </row>
    <row r="5" ht="15" customHeight="1" s="17">
      <c r="A5" s="19" t="inlineStr">
        <is>
          <t>cms-abc-003</t>
        </is>
      </c>
      <c r="B5" s="35" t="n">
        <v>44431.41666666666</v>
      </c>
      <c r="C5" s="21" t="n">
        <v>2</v>
      </c>
      <c r="D5" s="33">
        <f>IFERROR(INDEX(ticket!$B:$B,MATCH(A5,ticket!$E:$E,0)),"Not Found")</f>
        <v/>
      </c>
    </row>
    <row r="6" ht="15" customHeight="1" s="17">
      <c r="A6" s="16" t="inlineStr">
        <is>
          <t>cms-abc-004</t>
        </is>
      </c>
      <c r="B6" s="36" t="n">
        <v>44432.33333333334</v>
      </c>
      <c r="C6" s="16" t="n">
        <v>4</v>
      </c>
      <c r="D6" s="34">
        <f>IFERROR(INDEX(ticket!$B:$B,MATCH(A6,ticket!$E:$E,0)),"Not Found")</f>
        <v/>
      </c>
    </row>
    <row r="7" ht="15" customHeight="1" s="17">
      <c r="A7" s="19" t="inlineStr">
        <is>
          <t>cms-abc-005</t>
        </is>
      </c>
      <c r="B7" s="35" t="n">
        <v>44432.29166666666</v>
      </c>
      <c r="C7" s="21" t="n">
        <v>5</v>
      </c>
      <c r="D7" s="33">
        <f>IFERROR(INDEX(ticket!$B:$B,MATCH(A7,ticket!$E:$E,0)),"Not Found")</f>
        <v/>
      </c>
    </row>
    <row r="8" ht="15" customHeight="1" s="17">
      <c r="A8" s="19" t="inlineStr">
        <is>
          <t>cms-abc-007</t>
        </is>
      </c>
      <c r="B8" s="35" t="n">
        <v>44433.33333333334</v>
      </c>
      <c r="C8" s="21" t="n">
        <v>3</v>
      </c>
      <c r="D8" s="33">
        <f>IFERROR(INDEX(ticket!$B:$B,MATCH(A8,ticket!$E:$E,0)),"Not Found")</f>
        <v/>
      </c>
    </row>
    <row r="9" ht="15" customHeight="1" s="17">
      <c r="A9" s="19" t="inlineStr">
        <is>
          <t>cms-abc-008</t>
        </is>
      </c>
      <c r="B9" s="35" t="n">
        <v>44434.375</v>
      </c>
      <c r="C9" s="21" t="n">
        <v>4</v>
      </c>
      <c r="D9" s="33">
        <f>IFERROR(INDEX(ticket!$B:$B,MATCH(A9,ticket!$E:$E,0)),"Not Found")</f>
        <v/>
      </c>
    </row>
    <row r="10" ht="15" customHeight="1" s="17">
      <c r="A10" s="19" t="inlineStr">
        <is>
          <t>cms-abc-010</t>
        </is>
      </c>
      <c r="B10" s="35" t="n">
        <v>44435.41666666666</v>
      </c>
      <c r="C10" s="21" t="n">
        <v>5</v>
      </c>
      <c r="D10" s="33">
        <f>IFERROR(INDEX(ticket!$B:$B,MATCH(A10,ticket!$E:$E,0)),"Not Found")</f>
        <v/>
      </c>
    </row>
    <row r="11" ht="15" customHeight="1" s="17">
      <c r="A11" s="19" t="inlineStr">
        <is>
          <t>cms-abc-011</t>
        </is>
      </c>
      <c r="B11" s="35" t="n">
        <v>44436.45833333334</v>
      </c>
      <c r="C11" s="21" t="n">
        <v>1</v>
      </c>
      <c r="D11" s="33">
        <f>IFERROR(INDEX(ticket!$B:$B,MATCH(A11,ticket!$E:$E,0)),"Not Found")</f>
        <v/>
      </c>
    </row>
    <row r="12">
      <c r="A12" s="19" t="inlineStr">
        <is>
          <t>cms-abc-013</t>
        </is>
      </c>
      <c r="B12" s="35" t="n">
        <v>44437.5</v>
      </c>
      <c r="C12" s="21" t="n">
        <v>4</v>
      </c>
      <c r="D12" s="33">
        <f>IFERROR(INDEX(ticket!$B:$B,MATCH(A12,ticket!$E:$E,0)),"Not Found")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6" min="1" max="1"/>
    <col width="22" customWidth="1" style="16" min="2" max="3"/>
    <col width="22" customWidth="1" style="17" min="3" max="3"/>
    <col width="18" customWidth="1" style="16" min="4" max="4"/>
    <col width="16" customWidth="1" style="16" min="5" max="5"/>
    <col width="13" customWidth="1" style="16" min="6" max="7"/>
    <col width="13" customWidth="1" style="17" min="7" max="7"/>
  </cols>
  <sheetData>
    <row r="1" ht="25.5" customHeight="1" s="17">
      <c r="A1" s="24" t="inlineStr">
        <is>
          <t>Ticket Analysis — Created &amp; Closed Same Day / Same Hour</t>
        </is>
      </c>
    </row>
    <row r="3" ht="27.75" customHeight="1" s="17">
      <c r="A3" s="18" t="inlineStr">
        <is>
          <t>ticket_id</t>
        </is>
      </c>
      <c r="B3" s="18" t="inlineStr">
        <is>
          <t>created_at</t>
        </is>
      </c>
      <c r="C3" s="18" t="inlineStr">
        <is>
          <t>closed_at</t>
        </is>
      </c>
      <c r="D3" s="18" t="inlineStr">
        <is>
          <t>outlet_id</t>
        </is>
      </c>
      <c r="E3" s="18" t="inlineStr">
        <is>
          <t>cms_id</t>
        </is>
      </c>
      <c r="F3" s="18" t="inlineStr">
        <is>
          <t>Same Day?</t>
        </is>
      </c>
      <c r="G3" s="18" t="inlineStr">
        <is>
          <t>Same Hour?</t>
        </is>
      </c>
    </row>
    <row r="4" ht="15" customHeight="1" s="17">
      <c r="A4" s="19" t="inlineStr">
        <is>
          <t>isu-sjd-457</t>
        </is>
      </c>
      <c r="B4" s="35" t="n">
        <v>44427.69841435185</v>
      </c>
      <c r="C4" s="35" t="n">
        <v>44430.52328703704</v>
      </c>
      <c r="D4" s="19" t="inlineStr">
        <is>
          <t>wrqy-juv-978</t>
        </is>
      </c>
      <c r="E4" s="19" t="inlineStr">
        <is>
          <t>vew-iuvd-12</t>
        </is>
      </c>
      <c r="F4" s="25">
        <f>IF(INT(B4)=INT(C4),"Yes","No")</f>
        <v/>
      </c>
      <c r="G4" s="25">
        <f>IF(AND(INT(B4)=INT(C4),HOUR(B4)=HOUR(C4)),"Yes","No")</f>
        <v/>
      </c>
    </row>
    <row r="5" ht="15" customHeight="1" s="17">
      <c r="A5" s="19" t="inlineStr">
        <is>
          <t>qer-fal-092</t>
        </is>
      </c>
      <c r="B5" s="35" t="n">
        <v>44429.46483796297</v>
      </c>
      <c r="C5" s="35" t="n">
        <v>44429.71788194445</v>
      </c>
      <c r="D5" s="19" t="inlineStr">
        <is>
          <t>8woh-k3u-23b</t>
        </is>
      </c>
      <c r="E5" s="19" t="inlineStr">
        <is>
          <t>cms-abc-001</t>
        </is>
      </c>
      <c r="F5" s="25">
        <f>IF(INT(B5)=INT(C5),"Yes","No")</f>
        <v/>
      </c>
      <c r="G5" s="25">
        <f>IF(AND(INT(B5)=INT(C5),HOUR(B5)=HOUR(C5)),"Yes","No")</f>
        <v/>
      </c>
    </row>
    <row r="6" ht="15" customHeight="1" s="17">
      <c r="A6" s="19" t="inlineStr">
        <is>
          <t>mno-pqr-123</t>
        </is>
      </c>
      <c r="B6" s="35" t="n">
        <v>44429.375</v>
      </c>
      <c r="C6" s="35" t="n">
        <v>44429.40638888889</v>
      </c>
      <c r="D6" s="19" t="inlineStr">
        <is>
          <t>wrqy-juv-978</t>
        </is>
      </c>
      <c r="E6" s="19" t="inlineStr">
        <is>
          <t>cms-abc-002</t>
        </is>
      </c>
      <c r="F6" s="25">
        <f>IF(INT(B6)=INT(C6),"Yes","No")</f>
        <v/>
      </c>
      <c r="G6" s="25">
        <f>IF(AND(INT(B6)=INT(C6),HOUR(B6)=HOUR(C6)),"Yes","No")</f>
        <v/>
      </c>
    </row>
    <row r="7" ht="15" customHeight="1" s="17">
      <c r="A7" s="19" t="inlineStr">
        <is>
          <t>stu-vwx-456</t>
        </is>
      </c>
      <c r="B7" s="35" t="n">
        <v>44430.60416666666</v>
      </c>
      <c r="C7" s="35" t="n">
        <v>44430.621875</v>
      </c>
      <c r="D7" s="19" t="inlineStr">
        <is>
          <t>8woh-k3u-23b</t>
        </is>
      </c>
      <c r="E7" s="19" t="inlineStr">
        <is>
          <t>cms-abc-003</t>
        </is>
      </c>
      <c r="F7" s="25">
        <f>IF(INT(B7)=INT(C7),"Yes","No")</f>
        <v/>
      </c>
      <c r="G7" s="25">
        <f>IF(AND(INT(B7)=INT(C7),HOUR(B7)=HOUR(C7)),"Yes","No")</f>
        <v/>
      </c>
    </row>
    <row r="8" ht="15" customHeight="1" s="17">
      <c r="A8" s="19" t="inlineStr">
        <is>
          <t>yza-bcd-789</t>
        </is>
      </c>
      <c r="B8" s="35" t="n">
        <v>44431.42708333334</v>
      </c>
      <c r="C8" s="35" t="n">
        <v>44432.45833333334</v>
      </c>
      <c r="D8" s="19" t="inlineStr">
        <is>
          <t>wrqy-juv-978</t>
        </is>
      </c>
      <c r="E8" s="19" t="inlineStr">
        <is>
          <t>cms-abc-004</t>
        </is>
      </c>
      <c r="F8" s="25">
        <f>IF(INT(B8)=INT(C8),"Yes","No")</f>
        <v/>
      </c>
      <c r="G8" s="25">
        <f>IF(AND(INT(B8)=INT(C8),HOUR(B8)=HOUR(C8)),"Yes","No")</f>
        <v/>
      </c>
    </row>
    <row r="9" ht="15" customHeight="1" s="17">
      <c r="A9" s="19" t="inlineStr">
        <is>
          <t>efg-hij-012</t>
        </is>
      </c>
      <c r="B9" s="35" t="n">
        <v>44431.33333333334</v>
      </c>
      <c r="C9" s="35" t="n">
        <v>44431.36805555555</v>
      </c>
      <c r="D9" s="19" t="inlineStr">
        <is>
          <t>9xyz-lmn-45p</t>
        </is>
      </c>
      <c r="E9" s="19" t="inlineStr">
        <is>
          <t>cms-abc-005</t>
        </is>
      </c>
      <c r="F9" s="25">
        <f>IF(INT(B9)=INT(C9),"Yes","No")</f>
        <v/>
      </c>
      <c r="G9" s="25">
        <f>IF(AND(INT(B9)=INT(C9),HOUR(B9)=HOUR(C9)),"Yes","No")</f>
        <v/>
      </c>
    </row>
    <row r="10" ht="15" customHeight="1" s="17">
      <c r="A10" s="19" t="inlineStr">
        <is>
          <t>klm-nop-345</t>
        </is>
      </c>
      <c r="B10" s="35" t="n">
        <v>44432.54166666666</v>
      </c>
      <c r="C10" s="35" t="n">
        <v>44433.375</v>
      </c>
      <c r="D10" s="19" t="inlineStr">
        <is>
          <t>wrqy-juv-978</t>
        </is>
      </c>
      <c r="E10" s="19" t="inlineStr">
        <is>
          <t>cms-abc-006</t>
        </is>
      </c>
      <c r="F10" s="25">
        <f>IF(INT(B10)=INT(C10),"Yes","No")</f>
        <v/>
      </c>
      <c r="G10" s="25">
        <f>IF(AND(INT(B10)=INT(C10),HOUR(B10)=HOUR(C10)),"Yes","No")</f>
        <v/>
      </c>
    </row>
    <row r="11" ht="15" customHeight="1" s="17">
      <c r="A11" s="19" t="inlineStr">
        <is>
          <t>qrs-tuv-678</t>
        </is>
      </c>
      <c r="B11" s="35" t="n">
        <v>44432.64583333334</v>
      </c>
      <c r="C11" s="35" t="n">
        <v>44432.66527777778</v>
      </c>
      <c r="D11" s="19" t="inlineStr">
        <is>
          <t>8woh-k3u-23b</t>
        </is>
      </c>
      <c r="E11" s="19" t="inlineStr">
        <is>
          <t>cms-abc-007</t>
        </is>
      </c>
      <c r="F11" s="25">
        <f>IF(INT(B11)=INT(C11),"Yes","No")</f>
        <v/>
      </c>
      <c r="G11" s="25">
        <f>IF(AND(INT(B11)=INT(C11),HOUR(B11)=HOUR(C11)),"Yes","No")</f>
        <v/>
      </c>
    </row>
    <row r="12" ht="15" customHeight="1" s="17">
      <c r="A12" s="19" t="inlineStr">
        <is>
          <t>wxy-zab-901</t>
        </is>
      </c>
      <c r="B12" s="35" t="n">
        <v>44433.32291666666</v>
      </c>
      <c r="C12" s="35" t="n">
        <v>44433.33263888889</v>
      </c>
      <c r="D12" s="19" t="inlineStr">
        <is>
          <t>9xyz-lmn-45p</t>
        </is>
      </c>
      <c r="E12" s="19" t="inlineStr">
        <is>
          <t>cms-abc-008</t>
        </is>
      </c>
      <c r="F12" s="25">
        <f>IF(INT(B12)=INT(C12),"Yes","No")</f>
        <v/>
      </c>
      <c r="G12" s="25">
        <f>IF(AND(INT(B12)=INT(C12),HOUR(B12)=HOUR(C12)),"Yes","No")</f>
        <v/>
      </c>
    </row>
    <row r="13" ht="15" customHeight="1" s="17">
      <c r="A13" s="19" t="inlineStr">
        <is>
          <t>cde-fgh-234</t>
        </is>
      </c>
      <c r="B13" s="35" t="n">
        <v>44433.45833333334</v>
      </c>
      <c r="C13" s="35" t="n">
        <v>44434.41666666666</v>
      </c>
      <c r="D13" s="19" t="inlineStr">
        <is>
          <t>wrqy-juv-978</t>
        </is>
      </c>
      <c r="E13" s="19" t="inlineStr">
        <is>
          <t>cms-abc-009</t>
        </is>
      </c>
      <c r="F13" s="25">
        <f>IF(INT(B13)=INT(C13),"Yes","No")</f>
        <v/>
      </c>
      <c r="G13" s="25">
        <f>IF(AND(INT(B13)=INT(C13),HOUR(B13)=HOUR(C13)),"Yes","No")</f>
        <v/>
      </c>
    </row>
    <row r="14" ht="15" customHeight="1" s="17">
      <c r="A14" s="19" t="inlineStr">
        <is>
          <t>ijk-lmn-567</t>
        </is>
      </c>
      <c r="B14" s="35" t="n">
        <v>44434.68055555555</v>
      </c>
      <c r="C14" s="35" t="n">
        <v>44434.70138888889</v>
      </c>
      <c r="D14" s="19" t="inlineStr">
        <is>
          <t>8woh-k3u-23b</t>
        </is>
      </c>
      <c r="E14" s="19" t="inlineStr">
        <is>
          <t>cms-abc-010</t>
        </is>
      </c>
      <c r="F14" s="25">
        <f>IF(INT(B14)=INT(C14),"Yes","No")</f>
        <v/>
      </c>
      <c r="G14" s="25">
        <f>IF(AND(INT(B14)=INT(C14),HOUR(B14)=HOUR(C14)),"Yes","No")</f>
        <v/>
      </c>
    </row>
    <row r="15" ht="15" customHeight="1" s="17">
      <c r="A15" s="19" t="inlineStr">
        <is>
          <t>opq-rst-890</t>
        </is>
      </c>
      <c r="B15" s="35" t="n">
        <v>44435.39583333334</v>
      </c>
      <c r="C15" s="35" t="n">
        <v>44435.41319444445</v>
      </c>
      <c r="D15" s="19" t="inlineStr">
        <is>
          <t>9xyz-lmn-45p</t>
        </is>
      </c>
      <c r="E15" s="19" t="inlineStr">
        <is>
          <t>cms-abc-011</t>
        </is>
      </c>
      <c r="F15" s="25">
        <f>IF(INT(B15)=INT(C15),"Yes","No")</f>
        <v/>
      </c>
      <c r="G15" s="25">
        <f>IF(AND(INT(B15)=INT(C15),HOUR(B15)=HOUR(C15)),"Yes","No")</f>
        <v/>
      </c>
    </row>
    <row r="16" ht="15" customHeight="1" s="17">
      <c r="A16" s="19" t="inlineStr">
        <is>
          <t>uvw-xyz-123</t>
        </is>
      </c>
      <c r="B16" s="35" t="n">
        <v>44436.58333333334</v>
      </c>
      <c r="C16" s="35" t="n">
        <v>44437.4375</v>
      </c>
      <c r="D16" s="19" t="inlineStr">
        <is>
          <t>wrqy-juv-978</t>
        </is>
      </c>
      <c r="E16" s="19" t="inlineStr">
        <is>
          <t>cms-abc-012</t>
        </is>
      </c>
      <c r="F16" s="25">
        <f>IF(INT(B16)=INT(C16),"Yes","No")</f>
        <v/>
      </c>
      <c r="G16" s="25">
        <f>IF(AND(INT(B16)=INT(C16),HOUR(B16)=HOUR(C16)),"Yes","No")</f>
        <v/>
      </c>
    </row>
    <row r="17" ht="15" customHeight="1" s="17">
      <c r="A17" s="19" t="inlineStr">
        <is>
          <t>abc-def-456</t>
        </is>
      </c>
      <c r="B17" s="35" t="n">
        <v>44436.42361111111</v>
      </c>
      <c r="C17" s="35" t="n">
        <v>44436.44791666666</v>
      </c>
      <c r="D17" s="19" t="inlineStr">
        <is>
          <t>8woh-k3u-23b</t>
        </is>
      </c>
      <c r="E17" s="19" t="inlineStr">
        <is>
          <t>cms-abc-013</t>
        </is>
      </c>
      <c r="F17" s="25">
        <f>IF(INT(B17)=INT(C17),"Yes","No")</f>
        <v/>
      </c>
      <c r="G17" s="25">
        <f>IF(AND(INT(B17)=INT(C17),HOUR(B17)=HOUR(C17)),"Yes","No")</f>
        <v/>
      </c>
    </row>
    <row r="18" ht="15" customHeight="1" s="17">
      <c r="A18" s="19" t="inlineStr">
        <is>
          <t>ghi-jkl-789</t>
        </is>
      </c>
      <c r="B18" s="35" t="n">
        <v>44437.5</v>
      </c>
      <c r="C18" s="35" t="n">
        <v>44437.52083333334</v>
      </c>
      <c r="D18" s="19" t="inlineStr">
        <is>
          <t>9xyz-lmn-45p</t>
        </is>
      </c>
      <c r="E18" s="19" t="inlineStr">
        <is>
          <t>cms-abc-014</t>
        </is>
      </c>
      <c r="F18" s="25">
        <f>IF(INT(B18)=INT(C18),"Yes","No")</f>
        <v/>
      </c>
      <c r="G18" s="25">
        <f>IF(AND(INT(B18)=INT(C18),HOUR(B18)=HOUR(C18)),"Yes","No")</f>
        <v/>
      </c>
    </row>
    <row r="20" ht="15" customHeight="1" s="17">
      <c r="A20" s="26" t="inlineStr">
        <is>
          <t>Outlet-wise Summary</t>
        </is>
      </c>
    </row>
    <row r="21" ht="26.25" customHeight="1" s="17">
      <c r="A21" s="18" t="inlineStr">
        <is>
          <t>outlet_id</t>
        </is>
      </c>
      <c r="B21" s="18" t="inlineStr">
        <is>
          <t>Total Tickets</t>
        </is>
      </c>
      <c r="C21" s="18" t="inlineStr">
        <is>
          <t>Same Day Count</t>
        </is>
      </c>
      <c r="D21" s="18" t="inlineStr">
        <is>
          <t>Same Hour Count</t>
        </is>
      </c>
    </row>
    <row r="22" ht="15" customHeight="1" s="17">
      <c r="A22" s="27" t="inlineStr">
        <is>
          <t>8woh-k3u-23b</t>
        </is>
      </c>
      <c r="B22" s="28">
        <f>COUNTIF(D4:D18,A22)</f>
        <v/>
      </c>
      <c r="C22" s="28">
        <f>COUNTIFS(D4:D18,A22,F4:F18,"Yes")</f>
        <v/>
      </c>
      <c r="D22" s="28">
        <f>COUNTIFS(D4:D18,A22,G4:G18,"Yes")</f>
        <v/>
      </c>
    </row>
    <row r="23" ht="15" customHeight="1" s="17">
      <c r="A23" s="27" t="inlineStr">
        <is>
          <t>9xyz-lmn-45p</t>
        </is>
      </c>
      <c r="B23" s="28">
        <f>COUNTIF(D4:D18,A23)</f>
        <v/>
      </c>
      <c r="C23" s="28">
        <f>COUNTIFS(D4:D18,A23,F4:F18,"Yes")</f>
        <v/>
      </c>
      <c r="D23" s="28">
        <f>COUNTIFS(D4:D18,A23,G4:G18,"Yes")</f>
        <v/>
      </c>
    </row>
    <row r="24" ht="15" customHeight="1" s="17">
      <c r="A24" s="27" t="inlineStr">
        <is>
          <t>wrqy-juv-978</t>
        </is>
      </c>
      <c r="B24" s="28">
        <f>COUNTIF(D4:D18,A24)</f>
        <v/>
      </c>
      <c r="C24" s="28">
        <f>COUNTIFS(D4:D18,A24,F4:F18,"Yes")</f>
        <v/>
      </c>
      <c r="D24" s="28">
        <f>COUNTIFS(D4:D18,A24,G4:G18,"Yes")</f>
        <v/>
      </c>
    </row>
    <row r="26" ht="15" customHeight="1" s="17">
      <c r="A26" s="29" t="inlineStr">
        <is>
          <t>Expected Results (Verification Reference)</t>
        </is>
      </c>
    </row>
    <row r="27" ht="15" customHeight="1" s="17">
      <c r="A27" s="18" t="inlineStr">
        <is>
          <t>outlet_id</t>
        </is>
      </c>
      <c r="B27" s="18" t="inlineStr">
        <is>
          <t>Total</t>
        </is>
      </c>
      <c r="C27" s="18" t="inlineStr">
        <is>
          <t>SameDay</t>
        </is>
      </c>
      <c r="D27" s="18" t="inlineStr">
        <is>
          <t>SameHour</t>
        </is>
      </c>
    </row>
    <row r="28" ht="15" customHeight="1" s="17">
      <c r="A28" s="27" t="inlineStr">
        <is>
          <t>8woh-k3u-23b</t>
        </is>
      </c>
      <c r="B28" s="21" t="n">
        <v>5</v>
      </c>
      <c r="C28" s="21" t="n">
        <v>5</v>
      </c>
      <c r="D28" s="21" t="n">
        <v>4</v>
      </c>
    </row>
    <row r="29" ht="15" customHeight="1" s="17">
      <c r="A29" s="27" t="inlineStr">
        <is>
          <t>9xyz-lmn-45p</t>
        </is>
      </c>
      <c r="B29" s="21" t="n">
        <v>4</v>
      </c>
      <c r="C29" s="21" t="n">
        <v>4</v>
      </c>
      <c r="D29" s="21" t="n">
        <v>4</v>
      </c>
    </row>
    <row r="30" ht="15" customHeight="1" s="17">
      <c r="A30" s="27" t="inlineStr">
        <is>
          <t>wrqy-juv-978</t>
        </is>
      </c>
      <c r="B30" s="21" t="n">
        <v>6</v>
      </c>
      <c r="C30" s="21" t="n">
        <v>1</v>
      </c>
      <c r="D30" s="21" t="n">
        <v>1</v>
      </c>
    </row>
    <row r="33" ht="15" customHeight="1" s="17">
      <c r="A33" s="30" t="inlineStr">
        <is>
          <t>FORMULA NOTES</t>
        </is>
      </c>
    </row>
    <row r="34" ht="15" customHeight="1" s="17">
      <c r="A34" s="31" t="inlineStr">
        <is>
          <t>Q1 — feedbacks!D (ticket_created_at): =IFERROR(INDEX(ticket!$B:$B, MATCH(A2, ticket!$E:$E, 0)), "Not Found")</t>
        </is>
      </c>
    </row>
    <row r="35" ht="15" customHeight="1" s="17">
      <c r="A35" s="32" t="inlineStr">
        <is>
          <t xml:space="preserve">     INDEX-MATCH used instead of VLOOKUP because cms_id (col E) is to the RIGHT of created_at (col B) in ticket sheet.</t>
        </is>
      </c>
    </row>
    <row r="36" ht="15" customHeight="1" s="17">
      <c r="A36" s="32" t="inlineStr">
        <is>
          <t xml:space="preserve">     VLOOKUP cannot look right-to-left; INDEX-MATCH works in any direction.</t>
        </is>
      </c>
    </row>
    <row r="37" ht="15" customHeight="1" s="17">
      <c r="A37" s="31" t="inlineStr">
        <is>
          <t>Q2a — Same Day?: =IF(INT(created_at) = INT(closed_at), "Yes", "No")  |  INT() removes time, keeps date serial number.</t>
        </is>
      </c>
    </row>
    <row r="38" ht="15" customHeight="1" s="17">
      <c r="A38" s="31" t="inlineStr">
        <is>
          <t>Q2b — Same Hour?: =IF(AND(INT(B)=INT(C), HOUR(B)=HOUR(C)), "Yes", "No")  |  Both same date AND same hour.</t>
        </is>
      </c>
    </row>
    <row r="39" ht="15" customHeight="1" s="17">
      <c r="A39" s="31" t="inlineStr">
        <is>
          <t>Summary — COUNTIFS: =COUNTIFS(outlet_range, outlet_id, helper_col, "Yes")  — counts only matching rows.</t>
        </is>
      </c>
    </row>
    <row r="40" ht="15" customHeight="1" s="17">
      <c r="A40" s="31" t="inlineStr">
        <is>
          <t>IMPORTANT: Dates in ticket &amp; analysis sheets are stored as real Excel datetime values (not text) so INT/HOUR work correctly.</t>
        </is>
      </c>
    </row>
  </sheetData>
  <mergeCells count="8">
    <mergeCell ref="A39:H39"/>
    <mergeCell ref="A35:H35"/>
    <mergeCell ref="A34:H34"/>
    <mergeCell ref="A38:H38"/>
    <mergeCell ref="A36:H36"/>
    <mergeCell ref="A1:H1"/>
    <mergeCell ref="A37:H37"/>
    <mergeCell ref="A40:H4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2026-04-09T07:20:31Z</dcterms:created>
  <dcterms:modified xmlns:dcterms="http://purl.org/dc/terms/" xmlns:xsi="http://www.w3.org/2001/XMLSchema-instance" xsi:type="dcterms:W3CDTF">2026-04-09T07:49:56Z</dcterms:modified>
  <cp:revision>0</cp:revision>
</cp:coreProperties>
</file>